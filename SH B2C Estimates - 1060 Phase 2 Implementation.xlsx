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000" windowHeight="5880" tabRatio="500" activeTab="1"/>
  </bookViews>
  <sheets>
    <sheet name="Estimates" sheetId="5" r:id="rId1"/>
    <sheet name="Development" sheetId="6" r:id="rId2"/>
    <sheet name="High Level Approach" sheetId="8" r:id="rId3"/>
    <sheet name="Scope Of Implementation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<sst xmlns="http://schemas.openxmlformats.org/spreadsheetml/2006/main" count="49" uniqueCount="41">
  <si>
    <t>S.No</t>
  </si>
  <si>
    <t>Category</t>
  </si>
  <si>
    <t>Considerations</t>
  </si>
  <si>
    <t>Percentage (%)</t>
  </si>
  <si>
    <t>Min (hrs)</t>
  </si>
  <si>
    <t>Max (hrs)</t>
  </si>
  <si>
    <t>Development</t>
  </si>
  <si>
    <t>Mentioned in the Development tab</t>
  </si>
  <si>
    <t>Testing</t>
  </si>
  <si>
    <t>This includes end to end testing</t>
  </si>
  <si>
    <t>Design and Documentation</t>
  </si>
  <si>
    <t>User manual, Testing document, Tech Design document</t>
  </si>
  <si>
    <t>Deployment</t>
  </si>
  <si>
    <t>Deployment in orgs post development in shint, bfldev, UAT and Prod.</t>
  </si>
  <si>
    <t>Post Go Live Support</t>
  </si>
  <si>
    <t>Support would be provided for 2 days post go live</t>
  </si>
  <si>
    <t>Total</t>
  </si>
  <si>
    <t xml:space="preserve">Final Total (Round Up) </t>
  </si>
  <si>
    <t>Total Weeks (Tentative Schedule)</t>
  </si>
  <si>
    <t xml:space="preserve">NOTE : We need to check how to send emails to user in their respective time zone </t>
  </si>
  <si>
    <t>Approach  Details</t>
  </si>
  <si>
    <t>Features No.</t>
  </si>
  <si>
    <t>Features</t>
  </si>
  <si>
    <t>Assumption Details</t>
  </si>
  <si>
    <t>Category (Configuration/Development)</t>
  </si>
  <si>
    <t>Complexity</t>
  </si>
  <si>
    <t>Estimation Consideration</t>
  </si>
  <si>
    <t>Open Questions</t>
  </si>
  <si>
    <t>UI Change for the User detial page</t>
  </si>
  <si>
    <t>Medium</t>
  </si>
  <si>
    <t>Validation to check only single open survey is open for a user</t>
  </si>
  <si>
    <t>Handleing pre-filled data for partail submession from end user</t>
  </si>
  <si>
    <t>Sub Total</t>
  </si>
  <si>
    <t>Buffer</t>
  </si>
  <si>
    <t>Journey Implementation</t>
  </si>
  <si>
    <t>Phase 2 – Prefill Strategy (User Experience Optimization)
Goal
Reduce user effort by pre-filling previously saved answers when the user revisits the survey.
Core Design Principle
If an open Survey Response exists, preload all related answers into the UI.
High-Level Flow (Phase 2)
User accesses survey
System fetches existing open Survey Response
Related Answers are retrieved
UI pre-fills questions with existing answers</t>
  </si>
  <si>
    <t>In Scope</t>
  </si>
  <si>
    <t>Out Of Scope</t>
  </si>
  <si>
    <t xml:space="preserve">
In- Scope:
</t>
  </si>
  <si>
    <t xml:space="preserve">Out- Scope:
</t>
  </si>
  <si>
    <t>Note-: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</si>
</sst>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9">
    <font>
      <sz val="11"/>
      <color rgb="FF000000"/>
      <name val="Calibri"/>
      <charset val="1"/>
    </font>
    <font>
      <b/>
      <sz val="11"/>
      <color rgb="FF000000"/>
      <name val="Aptos Narrow"/>
      <charset val="134"/>
    </font>
    <font>
      <sz val="11"/>
      <color rgb="FF000000"/>
      <name val="Aptos Narrow"/>
      <charset val="134"/>
    </font>
    <font>
      <b/>
      <sz val="11"/>
      <color rgb="FFFF0000"/>
      <name val="Aptos Narrow"/>
      <charset val="134"/>
    </font>
    <font>
      <sz val="11"/>
      <color rgb="FF000000"/>
      <name val="Calibri"/>
      <charset val="134"/>
    </font>
    <font>
      <sz val="11"/>
      <color rgb="FF000000"/>
      <name val="Calibri"/>
      <charset val="134"/>
      <scheme val="minor"/>
    </font>
    <font>
      <b/>
      <sz val="11"/>
      <color rgb="FF000000"/>
      <name val="Calibri"/>
      <charset val="1"/>
    </font>
    <font>
      <b/>
      <sz val="11"/>
      <color rgb="FF000000"/>
      <name val="Aptos Narrow"/>
      <charset val="1"/>
    </font>
    <font>
      <sz val="11"/>
      <color theme="1"/>
      <name val="Calibri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E7E6E6"/>
      </patternFill>
    </fill>
    <fill>
      <patternFill patternType="solid">
        <fgColor rgb="FFE7E6E6"/>
        <bgColor rgb="FFD9D9D9"/>
      </patternFill>
    </fill>
    <fill>
      <patternFill patternType="solid">
        <fgColor rgb="FFBFBFBF"/>
        <bgColor rgb="FFD9D9D9"/>
      </patternFill>
    </fill>
    <fill>
      <patternFill patternType="solid">
        <fgColor rgb="FFD9D9D9"/>
        <bgColor rgb="FFE7E6E6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8" borderId="9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12" applyNumberFormat="0" applyAlignment="0" applyProtection="0">
      <alignment vertical="center"/>
    </xf>
    <xf numFmtId="0" fontId="19" fillId="10" borderId="13" applyNumberFormat="0" applyAlignment="0" applyProtection="0">
      <alignment vertical="center"/>
    </xf>
    <xf numFmtId="0" fontId="20" fillId="10" borderId="12" applyNumberFormat="0" applyAlignment="0" applyProtection="0">
      <alignment vertical="center"/>
    </xf>
    <xf numFmtId="0" fontId="21" fillId="11" borderId="14" applyNumberFormat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</cellStyleXfs>
  <cellXfs count="58">
    <xf numFmtId="0" fontId="0" fillId="0" borderId="0" xfId="0"/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wrapText="1"/>
    </xf>
    <xf numFmtId="0" fontId="2" fillId="0" borderId="0" xfId="0" applyFont="1"/>
    <xf numFmtId="0" fontId="3" fillId="0" borderId="2" xfId="0" applyFont="1" applyBorder="1" applyAlignment="1"/>
    <xf numFmtId="0" fontId="3" fillId="0" borderId="3" xfId="0" applyFont="1" applyBorder="1" applyAlignment="1"/>
    <xf numFmtId="0" fontId="4" fillId="0" borderId="0" xfId="0" applyFont="1" applyAlignment="1">
      <alignment horizontal="left" vertical="center" wrapText="1"/>
    </xf>
    <xf numFmtId="0" fontId="5" fillId="0" borderId="4" xfId="0" applyFont="1" applyBorder="1" applyAlignment="1">
      <alignment horizontal="left" vertical="top"/>
    </xf>
    <xf numFmtId="0" fontId="0" fillId="0" borderId="1" xfId="0" applyBorder="1"/>
    <xf numFmtId="0" fontId="6" fillId="0" borderId="0" xfId="0" applyFont="1"/>
    <xf numFmtId="0" fontId="5" fillId="0" borderId="4" xfId="0" applyFont="1" applyBorder="1"/>
    <xf numFmtId="0" fontId="6" fillId="0" borderId="1" xfId="0" applyFont="1" applyBorder="1"/>
    <xf numFmtId="0" fontId="5" fillId="0" borderId="1" xfId="0" applyFont="1" applyBorder="1" applyAlignment="1">
      <alignment wrapText="1"/>
    </xf>
    <xf numFmtId="0" fontId="0" fillId="0" borderId="4" xfId="0" applyBorder="1"/>
    <xf numFmtId="0" fontId="6" fillId="0" borderId="5" xfId="0" applyFont="1" applyBorder="1"/>
    <xf numFmtId="0" fontId="5" fillId="0" borderId="1" xfId="0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6" fillId="2" borderId="0" xfId="0" applyFont="1" applyFill="1" applyAlignment="1">
      <alignment horizontal="center" vertical="top"/>
    </xf>
    <xf numFmtId="0" fontId="0" fillId="3" borderId="0" xfId="0" applyFill="1" applyAlignment="1">
      <alignment vertical="top"/>
    </xf>
    <xf numFmtId="0" fontId="6" fillId="4" borderId="6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top" wrapText="1"/>
    </xf>
    <xf numFmtId="0" fontId="6" fillId="4" borderId="6" xfId="0" applyFont="1" applyFill="1" applyBorder="1" applyAlignment="1">
      <alignment horizontal="left" vertical="top" wrapText="1"/>
    </xf>
    <xf numFmtId="0" fontId="0" fillId="3" borderId="7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left" vertical="top" wrapText="1"/>
    </xf>
    <xf numFmtId="0" fontId="0" fillId="3" borderId="7" xfId="0" applyFill="1" applyBorder="1" applyAlignment="1">
      <alignment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left" vertical="top" wrapText="1"/>
    </xf>
    <xf numFmtId="0" fontId="0" fillId="3" borderId="8" xfId="0" applyFont="1" applyFill="1" applyBorder="1" applyAlignment="1">
      <alignment horizontal="left" vertical="top" wrapText="1"/>
    </xf>
    <xf numFmtId="0" fontId="0" fillId="3" borderId="8" xfId="0" applyFill="1" applyBorder="1" applyAlignment="1">
      <alignment vertical="center" wrapText="1"/>
    </xf>
    <xf numFmtId="0" fontId="6" fillId="5" borderId="8" xfId="0" applyFont="1" applyFill="1" applyBorder="1" applyAlignment="1">
      <alignment horizontal="center" vertical="center"/>
    </xf>
    <xf numFmtId="0" fontId="0" fillId="5" borderId="7" xfId="0" applyNumberForma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top" wrapText="1"/>
    </xf>
    <xf numFmtId="0" fontId="6" fillId="3" borderId="7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7" fillId="0" borderId="0" xfId="0" applyFont="1" applyAlignment="1">
      <alignment vertical="top" wrapText="1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8" xfId="0" applyBorder="1" applyAlignment="1">
      <alignment horizontal="left" vertical="top" wrapText="1"/>
    </xf>
    <xf numFmtId="0" fontId="0" fillId="0" borderId="8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7" xfId="0" applyBorder="1"/>
    <xf numFmtId="0" fontId="0" fillId="0" borderId="7" xfId="0" applyBorder="1" applyAlignment="1">
      <alignment horizontal="left"/>
    </xf>
    <xf numFmtId="0" fontId="6" fillId="6" borderId="7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wrapText="1"/>
    </xf>
    <xf numFmtId="0" fontId="0" fillId="6" borderId="1" xfId="0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6" fillId="6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left" wrapText="1"/>
    </xf>
    <xf numFmtId="0" fontId="8" fillId="7" borderId="1" xfId="0" applyFont="1" applyFill="1" applyBorder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E7E6E6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workbookViewId="0">
      <selection activeCell="D5" sqref="D5"/>
    </sheetView>
  </sheetViews>
  <sheetFormatPr defaultColWidth="8.42727272727273" defaultRowHeight="14.5" outlineLevelCol="5"/>
  <cols>
    <col min="1" max="1" width="23.8545454545455" customWidth="1"/>
    <col min="2" max="2" width="43.1363636363636" customWidth="1"/>
    <col min="3" max="3" width="40.8545454545455" customWidth="1"/>
    <col min="4" max="4" width="17.4272727272727" customWidth="1"/>
    <col min="5" max="5" width="10.7090909090909" customWidth="1"/>
  </cols>
  <sheetData>
    <row r="1" spans="1:6">
      <c r="A1" s="48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8" t="s">
        <v>5</v>
      </c>
    </row>
    <row r="2" spans="1:6">
      <c r="A2" s="49">
        <v>1</v>
      </c>
      <c r="B2" s="50" t="s">
        <v>6</v>
      </c>
      <c r="C2" s="50" t="s">
        <v>7</v>
      </c>
      <c r="D2" s="49">
        <v>75</v>
      </c>
      <c r="E2" s="51">
        <f>Development!G9</f>
        <v>47</v>
      </c>
      <c r="F2" s="51">
        <f>Development!H9</f>
        <v>68</v>
      </c>
    </row>
    <row r="3" spans="1:6">
      <c r="A3" s="49">
        <v>2</v>
      </c>
      <c r="B3" s="52" t="s">
        <v>8</v>
      </c>
      <c r="C3" s="50" t="s">
        <v>9</v>
      </c>
      <c r="D3" s="49">
        <v>20</v>
      </c>
      <c r="E3" s="53">
        <f>(D3/100*$E$8)</f>
        <v>12.6</v>
      </c>
      <c r="F3" s="53">
        <f>(D3/100*$F$8)</f>
        <v>18.2</v>
      </c>
    </row>
    <row r="4" ht="29" spans="1:6">
      <c r="A4" s="49">
        <v>3</v>
      </c>
      <c r="B4" s="52" t="s">
        <v>10</v>
      </c>
      <c r="C4" s="50" t="s">
        <v>11</v>
      </c>
      <c r="D4" s="49">
        <v>0</v>
      </c>
      <c r="E4" s="53">
        <f>(D4/100*$E$8)</f>
        <v>0</v>
      </c>
      <c r="F4" s="53">
        <f>(D4/100*$F$8)</f>
        <v>0</v>
      </c>
    </row>
    <row r="5" ht="29" spans="1:6">
      <c r="A5" s="49">
        <v>4</v>
      </c>
      <c r="B5" s="52" t="s">
        <v>12</v>
      </c>
      <c r="C5" s="50" t="s">
        <v>13</v>
      </c>
      <c r="D5" s="49">
        <v>3</v>
      </c>
      <c r="E5" s="53">
        <f>(D5/100*$E$8)</f>
        <v>1.89</v>
      </c>
      <c r="F5" s="53">
        <f>(D5/100*$F$8)</f>
        <v>2.73</v>
      </c>
    </row>
    <row r="6" ht="29" spans="1:6">
      <c r="A6" s="49">
        <v>5</v>
      </c>
      <c r="B6" s="52" t="s">
        <v>14</v>
      </c>
      <c r="C6" s="50" t="s">
        <v>15</v>
      </c>
      <c r="D6" s="49">
        <v>2</v>
      </c>
      <c r="E6" s="53">
        <f>(D6/100*$E$8)</f>
        <v>1.26</v>
      </c>
      <c r="F6" s="53">
        <f>(D6/100*$F$8)</f>
        <v>1.82</v>
      </c>
    </row>
    <row r="7" spans="1:6">
      <c r="A7" s="48" t="s">
        <v>16</v>
      </c>
      <c r="B7" s="48"/>
      <c r="C7" s="48"/>
      <c r="D7" s="48">
        <f>SUM(D2:D6)</f>
        <v>100</v>
      </c>
      <c r="E7" s="48">
        <f>($E$2*100/$D$2)</f>
        <v>62.6666666666667</v>
      </c>
      <c r="F7" s="48">
        <f>($F$2*100/$D$2)</f>
        <v>90.6666666666667</v>
      </c>
    </row>
    <row r="8" spans="1:6">
      <c r="A8" s="49"/>
      <c r="B8" s="46"/>
      <c r="C8" s="46" t="s">
        <v>17</v>
      </c>
      <c r="D8" s="49"/>
      <c r="E8" s="49">
        <f>ROUNDUP(E7,0)</f>
        <v>63</v>
      </c>
      <c r="F8" s="49">
        <f>ROUNDUP(F7,0)</f>
        <v>91</v>
      </c>
    </row>
    <row r="9" spans="1:6">
      <c r="A9" s="49"/>
      <c r="B9" s="46"/>
      <c r="C9" s="46" t="s">
        <v>18</v>
      </c>
      <c r="D9" s="49"/>
      <c r="E9" s="49">
        <f>ROUNDUP((E8/40),0)</f>
        <v>2</v>
      </c>
      <c r="F9" s="49">
        <f>ROUNDUP((F8/40),0)</f>
        <v>3</v>
      </c>
    </row>
    <row r="11" spans="2:3">
      <c r="B11" s="54" t="s">
        <v>19</v>
      </c>
      <c r="C11" s="55"/>
    </row>
    <row r="12" spans="3:5">
      <c r="C12" s="56"/>
      <c r="D12" s="56"/>
      <c r="E12">
        <v>195</v>
      </c>
    </row>
    <row r="13" spans="2:4">
      <c r="B13" s="17"/>
      <c r="C13" s="56"/>
      <c r="D13" s="56"/>
    </row>
    <row r="14" spans="2:4">
      <c r="B14" s="17"/>
      <c r="C14" s="57"/>
      <c r="D14" s="57"/>
    </row>
    <row r="15" spans="2:4">
      <c r="B15" s="17"/>
      <c r="C15" s="57"/>
      <c r="D15" s="56"/>
    </row>
    <row r="16" spans="2:4">
      <c r="B16" s="17"/>
      <c r="C16" s="57"/>
      <c r="D16" s="56"/>
    </row>
    <row r="17" spans="2:4">
      <c r="B17" s="17"/>
      <c r="C17" s="57"/>
      <c r="D17" s="56"/>
    </row>
    <row r="18" spans="2:4">
      <c r="B18" s="17"/>
      <c r="C18" s="57"/>
      <c r="D18" s="56"/>
    </row>
    <row r="19" spans="2:4">
      <c r="B19" s="17"/>
      <c r="C19" s="57"/>
      <c r="D19" s="56"/>
    </row>
  </sheetData>
  <mergeCells count="2">
    <mergeCell ref="A7:C7"/>
    <mergeCell ref="B11:C11"/>
  </mergeCells>
  <pageMargins left="0.7" right="0.7" top="0.75" bottom="0.75" header="0.511805555555555" footer="0.511805555555555"/>
  <pageSetup paperSize="1" firstPageNumber="0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tabSelected="1" zoomScale="77" zoomScaleNormal="77" workbookViewId="0">
      <selection activeCell="F15" sqref="F15"/>
    </sheetView>
  </sheetViews>
  <sheetFormatPr defaultColWidth="8.42727272727273" defaultRowHeight="14.5"/>
  <cols>
    <col min="1" max="1" width="8.28181818181818" style="17" customWidth="1"/>
    <col min="2" max="2" width="32.1363636363636" style="18" customWidth="1"/>
    <col min="3" max="3" width="30.8545454545455" style="18" customWidth="1"/>
    <col min="4" max="4" width="27.4272727272727" style="18" customWidth="1"/>
    <col min="5" max="5" width="12.4272727272727" customWidth="1"/>
    <col min="6" max="6" width="33.7090909090909" style="19" customWidth="1"/>
    <col min="9" max="9" width="25.1363636363636" customWidth="1"/>
  </cols>
  <sheetData>
    <row r="1" spans="2:8">
      <c r="B1" s="20"/>
      <c r="C1" s="21" t="s">
        <v>20</v>
      </c>
      <c r="D1" s="22"/>
      <c r="E1" s="17"/>
      <c r="G1" s="17"/>
      <c r="H1" s="17"/>
    </row>
    <row r="2" spans="2:8">
      <c r="B2" s="20"/>
      <c r="E2" s="17"/>
      <c r="G2" s="17"/>
      <c r="H2" s="17"/>
    </row>
    <row r="3" ht="29" spans="1:9">
      <c r="A3" s="23" t="s">
        <v>21</v>
      </c>
      <c r="B3" s="24" t="s">
        <v>22</v>
      </c>
      <c r="C3" s="24" t="s">
        <v>23</v>
      </c>
      <c r="D3" s="24" t="s">
        <v>24</v>
      </c>
      <c r="E3" s="23" t="s">
        <v>25</v>
      </c>
      <c r="F3" s="25" t="s">
        <v>26</v>
      </c>
      <c r="G3" s="23" t="s">
        <v>4</v>
      </c>
      <c r="H3" s="23" t="s">
        <v>5</v>
      </c>
      <c r="I3" s="23" t="s">
        <v>27</v>
      </c>
    </row>
    <row r="4" spans="1:9">
      <c r="A4" s="26">
        <v>1</v>
      </c>
      <c r="B4" s="27" t="s">
        <v>28</v>
      </c>
      <c r="C4" s="27"/>
      <c r="D4" s="28" t="s">
        <v>6</v>
      </c>
      <c r="E4" s="28" t="s">
        <v>29</v>
      </c>
      <c r="F4" s="27"/>
      <c r="G4" s="27">
        <v>3</v>
      </c>
      <c r="H4" s="27">
        <v>6</v>
      </c>
      <c r="I4" s="27"/>
    </row>
    <row r="5" ht="29" spans="1:9">
      <c r="A5" s="29">
        <v>2</v>
      </c>
      <c r="B5" s="30" t="s">
        <v>30</v>
      </c>
      <c r="C5" s="31"/>
      <c r="D5" s="32" t="s">
        <v>6</v>
      </c>
      <c r="E5" s="32" t="s">
        <v>29</v>
      </c>
      <c r="F5" s="31"/>
      <c r="G5" s="27">
        <v>4</v>
      </c>
      <c r="H5" s="27">
        <v>6</v>
      </c>
      <c r="I5" s="27"/>
    </row>
    <row r="6" ht="29" spans="1:9">
      <c r="A6" s="29">
        <v>3</v>
      </c>
      <c r="B6" s="30" t="s">
        <v>31</v>
      </c>
      <c r="C6" s="31"/>
      <c r="D6" s="32" t="s">
        <v>6</v>
      </c>
      <c r="E6" s="32" t="s">
        <v>29</v>
      </c>
      <c r="F6" s="31"/>
      <c r="G6" s="27">
        <v>40</v>
      </c>
      <c r="H6" s="27">
        <v>56</v>
      </c>
      <c r="I6" s="27"/>
    </row>
    <row r="7" spans="1:9">
      <c r="A7" s="33" t="s">
        <v>32</v>
      </c>
      <c r="B7" s="33"/>
      <c r="C7" s="33"/>
      <c r="D7" s="33"/>
      <c r="E7" s="33"/>
      <c r="F7" s="33"/>
      <c r="G7" s="34">
        <f>SUM(G4:G6)</f>
        <v>47</v>
      </c>
      <c r="H7" s="34">
        <f>SUM(H4:H6)</f>
        <v>68</v>
      </c>
      <c r="I7" s="46"/>
    </row>
    <row r="8" ht="14.45" customHeight="1" spans="1:9">
      <c r="A8" s="35" t="s">
        <v>33</v>
      </c>
      <c r="B8" s="35"/>
      <c r="C8" s="35"/>
      <c r="D8" s="35"/>
      <c r="E8" s="35"/>
      <c r="F8" s="35"/>
      <c r="G8" s="36">
        <v>0</v>
      </c>
      <c r="H8" s="36">
        <v>0</v>
      </c>
      <c r="I8" s="46"/>
    </row>
    <row r="9" ht="14.45" customHeight="1" spans="1:9">
      <c r="A9" s="35" t="s">
        <v>16</v>
      </c>
      <c r="B9" s="35"/>
      <c r="C9" s="35"/>
      <c r="D9" s="35"/>
      <c r="E9" s="35"/>
      <c r="F9" s="35"/>
      <c r="G9" s="37">
        <f>SUM(G7:G8)</f>
        <v>47</v>
      </c>
      <c r="H9" s="37">
        <f>SUM(H7:H8)</f>
        <v>68</v>
      </c>
      <c r="I9" s="46"/>
    </row>
    <row r="10" ht="14.45" customHeight="1" spans="1:9">
      <c r="A10" s="38"/>
      <c r="B10" s="38"/>
      <c r="C10" s="38"/>
      <c r="D10" s="38"/>
      <c r="E10" s="38"/>
      <c r="F10" s="38"/>
      <c r="G10" s="38"/>
      <c r="H10" s="38"/>
      <c r="I10" s="38"/>
    </row>
    <row r="12" ht="39.75" customHeight="1" spans="1:9">
      <c r="A12" s="39"/>
      <c r="B12" s="39"/>
      <c r="C12" s="39"/>
      <c r="D12" s="39"/>
      <c r="E12" s="39"/>
      <c r="F12" s="39"/>
      <c r="G12" s="40"/>
      <c r="H12" s="40"/>
      <c r="I12" s="40"/>
    </row>
    <row r="14" spans="1:9">
      <c r="A14" s="41">
        <v>5</v>
      </c>
      <c r="B14" s="42" t="s">
        <v>34</v>
      </c>
      <c r="C14" s="43"/>
      <c r="D14" s="42"/>
      <c r="E14" s="42"/>
      <c r="F14" s="44"/>
      <c r="G14" s="45">
        <v>40</v>
      </c>
      <c r="H14" s="45">
        <v>56</v>
      </c>
      <c r="I14" s="47"/>
    </row>
  </sheetData>
  <mergeCells count="5">
    <mergeCell ref="A7:F7"/>
    <mergeCell ref="A8:F8"/>
    <mergeCell ref="A9:F9"/>
    <mergeCell ref="A10:I10"/>
    <mergeCell ref="A12:F12"/>
  </mergeCells>
  <pageMargins left="0.7" right="0.7" top="0.75" bottom="0.75" header="0.511805555555555" footer="0.511805555555555"/>
  <pageSetup paperSize="1" firstPageNumber="0" orientation="portrait" useFirstPageNumber="1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8"/>
  <sheetViews>
    <sheetView zoomScale="60" zoomScaleNormal="60" workbookViewId="0">
      <selection activeCell="A1" sqref="A1"/>
    </sheetView>
  </sheetViews>
  <sheetFormatPr defaultColWidth="9" defaultRowHeight="14.5"/>
  <cols>
    <col min="1" max="1" width="133.136363636364" customWidth="1"/>
  </cols>
  <sheetData>
    <row r="1" ht="217.5" spans="1:1">
      <c r="A1" s="7" t="s">
        <v>35</v>
      </c>
    </row>
    <row r="2" spans="1:1">
      <c r="A2" s="8"/>
    </row>
    <row r="3" spans="1:1">
      <c r="A3" s="9"/>
    </row>
    <row r="4" spans="1:1">
      <c r="A4" s="9"/>
    </row>
    <row r="5" spans="1:1">
      <c r="A5" s="9"/>
    </row>
    <row r="6" spans="1:1">
      <c r="A6" s="9"/>
    </row>
    <row r="7" spans="1:1">
      <c r="A7" s="10"/>
    </row>
    <row r="8" spans="1:1">
      <c r="A8" s="11"/>
    </row>
    <row r="9" spans="1:1">
      <c r="A9" s="9"/>
    </row>
    <row r="10" spans="1:1">
      <c r="A10" s="9"/>
    </row>
    <row r="11" spans="1:1">
      <c r="A11" s="12"/>
    </row>
    <row r="12" spans="1:1">
      <c r="A12" s="9"/>
    </row>
    <row r="13" spans="1:1">
      <c r="A13" s="9"/>
    </row>
    <row r="14" spans="1:1">
      <c r="A14" s="9"/>
    </row>
    <row r="15" spans="1:1">
      <c r="A15" s="13"/>
    </row>
    <row r="16" spans="1:1">
      <c r="A16" s="12"/>
    </row>
    <row r="17" spans="1:1">
      <c r="A17" s="14"/>
    </row>
    <row r="18" spans="1:1">
      <c r="A18" s="9"/>
    </row>
    <row r="19" spans="1:1">
      <c r="A19" s="9"/>
    </row>
    <row r="20" spans="1:1">
      <c r="A20" s="15"/>
    </row>
    <row r="21" spans="1:1">
      <c r="A21" s="16"/>
    </row>
    <row r="22" spans="1:1">
      <c r="A22" s="9"/>
    </row>
    <row r="23" spans="1:1">
      <c r="A23" s="9"/>
    </row>
    <row r="24" spans="1:1">
      <c r="A24" s="12"/>
    </row>
    <row r="25" spans="1:1">
      <c r="A25" s="9"/>
    </row>
    <row r="26" spans="1:1">
      <c r="A26" s="9"/>
    </row>
    <row r="27" spans="1:1">
      <c r="A27" s="12"/>
    </row>
    <row r="28" spans="1:1">
      <c r="A28" s="9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zoomScale="70" zoomScaleNormal="70" topLeftCell="A2" workbookViewId="0">
      <selection activeCell="A2" sqref="A2"/>
    </sheetView>
  </sheetViews>
  <sheetFormatPr defaultColWidth="9" defaultRowHeight="14.5" outlineLevelRow="3" outlineLevelCol="1"/>
  <cols>
    <col min="1" max="1" width="80" customWidth="1"/>
    <col min="2" max="2" width="69.7090909090909" customWidth="1"/>
  </cols>
  <sheetData>
    <row r="1" spans="1:2">
      <c r="A1" s="1" t="s">
        <v>36</v>
      </c>
      <c r="B1" s="1" t="s">
        <v>37</v>
      </c>
    </row>
    <row r="2" ht="408.75" customHeight="1" spans="1:2">
      <c r="A2" s="2" t="s">
        <v>38</v>
      </c>
      <c r="B2" s="2" t="s">
        <v>39</v>
      </c>
    </row>
    <row r="3" spans="1:2">
      <c r="A3" s="3"/>
      <c r="B3" s="4"/>
    </row>
    <row r="4" spans="1:2">
      <c r="A4" s="5" t="s">
        <v>40</v>
      </c>
      <c r="B4" s="6"/>
    </row>
  </sheetData>
  <mergeCells count="1">
    <mergeCell ref="A4:B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Estimates</vt:lpstr>
      <vt:lpstr>Development</vt:lpstr>
      <vt:lpstr>High Level Approach</vt:lpstr>
      <vt:lpstr>Scope Of Implementation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Kritika Sharma</dc:creator>
  <cp:lastModifiedBy>Amey Sharma</cp:lastModifiedBy>
  <cp:revision>1</cp:revision>
  <dcterms:created xsi:type="dcterms:W3CDTF">2023-08-24T07:12:00Z</dcterms:created>
  <dcterms:modified xsi:type="dcterms:W3CDTF">2026-01-30T12:14:06Z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5D6A6F0734844AB8B976ABC1D1BBD74A_13</vt:lpwstr>
  </property>
  <property fmtid="{D5CDD505-2E9C-101B-9397-08002B2CF9AE}" pid="3" name="KSOProductBuildVer">
    <vt:lpwstr>1033-12.2.0.23196</vt:lpwstr>
  </property>
</Properties>
</file>